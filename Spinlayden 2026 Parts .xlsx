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" sheetId="1" r:id="rId5"/>
  </sheets>
  <definedNames/>
  <calcPr/>
</workbook>
</file>

<file path=xl/sharedStrings.xml><?xml version="1.0" encoding="utf-8"?>
<sst xmlns="http://schemas.openxmlformats.org/spreadsheetml/2006/main" count="185" uniqueCount="126">
  <si>
    <t>Requested Buyer</t>
  </si>
  <si>
    <t>Category</t>
  </si>
  <si>
    <t>Part</t>
  </si>
  <si>
    <t>Name</t>
  </si>
  <si>
    <t>Link</t>
  </si>
  <si>
    <t>Unit Price</t>
  </si>
  <si>
    <t># Owned</t>
  </si>
  <si>
    <t># Needed</t>
  </si>
  <si>
    <t>Part #</t>
  </si>
  <si>
    <t># Total</t>
  </si>
  <si>
    <t>Actual Price</t>
  </si>
  <si>
    <t>New Expendetures (2025)</t>
  </si>
  <si>
    <t>AWT</t>
  </si>
  <si>
    <t>Chassis</t>
  </si>
  <si>
    <t>Wall Metal</t>
  </si>
  <si>
    <t>Multipurpose 6061 Aluminum Bar, 3/8" Thick x 8" Wide, 2 Feet Long</t>
  </si>
  <si>
    <t>https://www.mcmaster.com/products/aluminum-plates/thickness~3-8-2/thickness~0-375/width~8/length~24/length~2-ft/</t>
  </si>
  <si>
    <t>8975K372</t>
  </si>
  <si>
    <t>Plate Metal</t>
  </si>
  <si>
    <t>Multipurpose 6061 Aluminum Sheet 1/8" Thick (29" x 25")</t>
  </si>
  <si>
    <t>https://www.mcmaster.com/89015K319/</t>
  </si>
  <si>
    <t>89015K319</t>
  </si>
  <si>
    <t>Weapon</t>
  </si>
  <si>
    <t>Blade Metal</t>
  </si>
  <si>
    <t>Impact-Resistant A516 Carbon Steel, 6" x 6" x 1"</t>
  </si>
  <si>
    <t>https://www.mcmaster.com/catalog/131/4219/89015K319steel~/shape~sheet-and-bar/thickness~1-000/thickness~1-3/impact-resistant-a516-carbon-steel/</t>
  </si>
  <si>
    <t>1631T61</t>
  </si>
  <si>
    <t>Riverside</t>
  </si>
  <si>
    <t>Drive</t>
  </si>
  <si>
    <t xml:space="preserve">Ball Bearing </t>
  </si>
  <si>
    <t>(20) R8-2RS Sealed Ball Bearing 1/2"x1-1/8"x5/16" - Lubricated - Chrome Steel 20Pcs</t>
  </si>
  <si>
    <t>https://www.amazon.com/R8-2RS-Sealed-Ball-Bearing-x1-1/dp/B0B3J1W6NZ/ref=sr_1_4?crid=101PO0XCGR78Y&amp;dib=eyJ2IjoiMSJ9.L-LoLVn4gXzsObnzmbu26OeX5osCMxMRnkTPrRWjyRfR8x8Pm6YAg6P2qxxwm2CebAhkw41lQvmWVTyufiRreocHQ38Z4S6y9-jUuYBIPmxmzdjeGUnQsyeo8q_2wOGUXFabSX__1yCai5ldGB0aRhwH2Gg6XiLTvWcxIeQq8xa_rjwP4Hku91yPukAQR_uS2B6rYtFdauCuMb6f5sJuN-Ucbmm_BxqS9Yn6DikA-Fm5xpNRjGkmj6zg_9AMIOysPS_WJvBWDJK2OJUwMNk1G30jxHNjgHob37nPa55t4UA1G01OIxLlAVBoEcVUPwLuwIm19KeF7inwRwFTwn4zNiibivxr8Cq7GZqRArLoYBc.sdVjBODL552B0_eysEaS9WDOxVTzeG4jg75iYqwFqr8&amp;dib_tag=se&amp;keywords=R8-2RS%2BShielded%2BBearing&amp;qid=1739916946&amp;s=industrial&amp;sprefix=r8-2rs%2Bshielded%2Bbearing%2Cindustrial%2C82&amp;sr=1-4&amp;th=1</t>
  </si>
  <si>
    <t>Brain</t>
  </si>
  <si>
    <t>Rasberry Pi 4B</t>
  </si>
  <si>
    <t>Rasberry Pi 4B 8gb RAM</t>
  </si>
  <si>
    <r>
      <rPr>
        <rFont val="Lexend"/>
        <color rgb="FF1155CC"/>
        <sz val="15.0"/>
        <u/>
      </rPr>
      <t>Raspberry Pi 4 Model B 8GB</t>
    </r>
    <r>
      <rPr>
        <rFont val="Lexend"/>
        <color rgb="FF1155CC"/>
        <sz val="11.0"/>
        <u/>
      </rPr>
      <t>Amazon.com</t>
    </r>
    <r>
      <rPr>
        <rFont val="Lexend"/>
        <color rgb="FF1155CC"/>
        <sz val="9.0"/>
        <u/>
      </rPr>
      <t>https://www.amazon.com</t>
    </r>
    <r>
      <rPr>
        <rFont val="Lexend"/>
      </rPr>
      <t xml:space="preserve"> › Raspberry-Pi-4-4G-Model</t>
    </r>
  </si>
  <si>
    <t>Microcenter</t>
  </si>
  <si>
    <t>Power</t>
  </si>
  <si>
    <t>Battery Connectors</t>
  </si>
  <si>
    <t xml:space="preserve"> (8) Xt60 Connector &amp; Wire Covers</t>
  </si>
  <si>
    <t>https://www.amazon.com/Wolfwhoop-XT60-Connector-Housing-Silicon/dp/B07C5J43ZL/ref=sr_1_8?crid=134JNQ748Z84Y&amp;dib=eyJ2IjoiMSJ9.DgBQ1jw2St8D7mZsX110Wb78TP2ymBHqDVjnG_GaEY6ucokvED75KSk9baJJqUw5zeiZnnztbLeBY0-h7s3__a26Vaj5YcjMMjvqtbs5_9wdf5fWNwJR-Wy4KX5lcMLgpg1bg7ktWTcctB9RvJNMMq8Sq9vkicxPsEb2pChPDtylKTYs3rC4BGq70s6ezqbAKM5ylsmV7t9KMlDIHwo9H2cfWOtXwXxIu5DuhP0dwj2xfGV4TPnpTofbDwrGCur1uEq5t7PbjKVk2XfXL5k17Zm3idnPzVOrgsFwBm_hPJ-42utrAIGH70oWEx6lPCWh9k11pbrKQ-OQAYLOjtnjwMakN2ONYvMxwGMvNLTWVywcQX-Z6mDNSVAhQaYLwqpUXXAdhNhX3uVtjlwCVAguDQJ6xqwUWyfT--AOZWkm1amiBZdmcH1hkbFIf1WDwAKj.S_p0gBXKTUS7bn4ahV-eGV920gXyJG31vGbs9zWNXJg&amp;dib_tag=se&amp;keywords=xt60+connector+wire&amp;qid=1739573417&amp;sprefix=xt60+connector+wir%2Caps%2C104&amp;sr=8-8</t>
  </si>
  <si>
    <t>Thread Lock</t>
  </si>
  <si>
    <t>Kraken Bond KH 62 Red Threadlocker</t>
  </si>
  <si>
    <t>https://share.google/WEV3vj3xdpeda6Fa1</t>
  </si>
  <si>
    <t>Power, Brain</t>
  </si>
  <si>
    <t>Solder</t>
  </si>
  <si>
    <t>63-37 Tin Lead Rosin Core Solder Wire for Electrical Soldering (0.8mm 100g)</t>
  </si>
  <si>
    <t>https://www.amazon.com/gp/product/B0CHM5QS3N/ref=sw_img_1?smid=AKFL6YKYZULXS&amp;th=1</t>
  </si>
  <si>
    <t>Wires</t>
  </si>
  <si>
    <t>ELEGOO 120pcs Multicolored Dupont Wire</t>
  </si>
  <si>
    <t>https://www.amazon.com/Elegoo-EL-CP-004-Multicolored-Breadboard-arduino/dp/B01EV70C78/ref=sr_1_1_sspa?crid=2LK9WKSZMRIUY&amp;dib=eyJ2IjoiMSJ9.tjHxIQLJsk16_0YVtUGN6S6iuxj4sNk3ew3kIjjT561C6TtS8BuhZ7R9bzBAlgOTzqO8ISg5dgsei3AKhkFpmcmjz_LcuqG2WbKRBURpw7aU_csPgma9NdFOaIZvvGc-WT34rb_lB3yaZ_sKh8fa2metF_c_UWtrWrivVj6a9dlKfYiT6l4we2MS2YPygYt31mc9bQKc5Z_0yUELWcAd6EX6-XxQgD2em1Sjc6fQ_BQ.rD5rwPrS_1PTnmMys5suuC3QRpujfRayA1ahJn3yb00&amp;dib_tag=se&amp;keywords=jumper+wires&amp;qid=1739576097&amp;sprefix=jumper+wires%2Caps%2C121&amp;sr=8-1-spons&amp;sp_csd=d2lkZ2V0TmFtZT1zcF9hdGY&amp;psc=1</t>
  </si>
  <si>
    <t>TPE Rubber Filament</t>
  </si>
  <si>
    <t>eSUN Flexible TPE Filament 1.75mm, TPE-83A 3D Printer Filament</t>
  </si>
  <si>
    <t>https://www.amazon.com/eSUN-Flexible-Filament-Printing-Printers/dp/B08RRWZRPQ/ref=sr_1_8?crid=1VH7YQ5B9N9X5&amp;dib=eyJ2IjoiMSJ9.PVgsvaLznWDEBX1kB-9U3287njxCpNQ1yD2SDHzTMdq1pVJjE4mEgs8zPL9gEClSKOJXnH8q4yvrH_UKxZYTqXQZt_So18LZbSd7_aUR0QL8zPOx5e-OWXenJuuRBHGPEYURf8Umt4bi1r_Nj3FMP3Q5GrJ-ZjF7TJklek_bG7yFrrWWDo3b8vRsUMPslaBt2EddvFVeahO9tOlA20Oa7hlHyD9CNFu9YNGkZrkCPkg.vOOrtG7U-19fJcyvqwgod2XbFjZSvJlWkbdTb4yWTc0&amp;dib_tag=se&amp;keywords=tpe+filament+95a&amp;qid=1739577855&amp;sprefix=tpe+filament+95a%2Caps%2C103&amp;sr=8-8</t>
  </si>
  <si>
    <t>PET G Plastic Filament</t>
  </si>
  <si>
    <t>Official CR PETG 3D Printer Filament 1.75mm 1KG (2.2lbs)</t>
  </si>
  <si>
    <t>https://www.amazon.com/Official-Creality-Precision-Toughness-Moistureproof/dp/B0C8NP63GD/ref=sr_1_3?crid=3F9WKM8TGCMY4&amp;dib=eyJ2IjoiMSJ9.yf4QrGfdb01bS0owhB7XaI17PZc505K7I973RY-S-ZO8Mef7UgoY0dY768IQBW7E41zoqtAyUPofLZNQ4vZ8o7lC5s4_eoOsjGnPNf1P-1ZUUjCQuan694xe2xMQItyr_Ek3Ed_TqvAOOC-5BPEReq1JVImiDWKzuUtTOWhVWIXvCJG5r8vvnI_Mcv3D4CRlND0U255wKIibrjRkD1KBN_9INwwD-kEYZVnMn8o9yoc.cD4Z0IQl7NzZKD-S-dLBYULVgLKq1VOwCjKIwljj2Rk&amp;dib_tag=se&amp;keywords=pet%2Bg&amp;qid=1739578057&amp;sprefix=pet%2B%2Caps%2C152&amp;sr=8-3&amp;th=1</t>
  </si>
  <si>
    <t>3" Shaft</t>
  </si>
  <si>
    <t>Rotary Shaft, 1045 Carbon Steel, 3"</t>
  </si>
  <si>
    <t>https://share.google/lZljnIYV1s7Qoj4nu</t>
  </si>
  <si>
    <t>Found at https://www.mcmaster.com/products/rotary-shafts/shafts-2~/keyed-rotary-shafts-5/. 1/2" Dia. (Tolerance: -0.0025" to 0") 3" 0.125" key width 1/16" depth.  1497K7</t>
  </si>
  <si>
    <t>Pulley</t>
  </si>
  <si>
    <t>Terre Products Heavy Duty 1.75" V-Groove Drive Pulley</t>
  </si>
  <si>
    <t>https://share.google/xgnd6Wb7NK2x8JHfx</t>
  </si>
  <si>
    <t>Belt</t>
  </si>
  <si>
    <t>Dayco 4L160 Utility V-Belt</t>
  </si>
  <si>
    <t>https://share.google/CJMUQI0gt8t5kmACn</t>
  </si>
  <si>
    <t>Order 6, then 6 + shipping = 24.71</t>
  </si>
  <si>
    <t>Top Plate Screws</t>
  </si>
  <si>
    <t>(100) #10-24 x 3/8" Alloy Steel 10.9 Grade Hex Socket Button Head Cap Screws</t>
  </si>
  <si>
    <r>
      <rPr>
        <rFont val="Lexend"/>
        <color rgb="FF000000"/>
        <sz val="9.0"/>
        <u/>
      </rPr>
      <t>Amazon.com: 10-24 x 3/8" Button Head Socket Cap Screw ...</t>
    </r>
    <r>
      <rPr>
        <rFont val="Lexend"/>
        <color rgb="FF000000"/>
        <sz val="9.0"/>
        <u/>
      </rPr>
      <t>Amazon.com</t>
    </r>
    <r>
      <rPr>
        <rFont val="Lexend"/>
        <color rgb="FF000000"/>
        <sz val="9.0"/>
        <u/>
      </rPr>
      <t>https://www.amazon.com</t>
    </r>
    <r>
      <rPr>
        <rFont val="Lexend"/>
        <color rgb="FF000000"/>
        <sz val="9.0"/>
        <u/>
      </rPr>
      <t xml:space="preserve"> › 10-24-Button-Socket-Screw...</t>
    </r>
  </si>
  <si>
    <t>Weapon Screws</t>
  </si>
  <si>
    <t>(50) #10-24 x 3/4 inch Flat Head Socket Cap Screws, Countersunk Head, Allen Hex Drive, 304 Stainless Steel 18-8</t>
  </si>
  <si>
    <t>https://www.amazon.com/Socket-Screws-Countersunk-Stainless-Machine/dp/B08DNTQ8WP/ref=sr_1_1?crid=18K2ATIKB80Q&amp;dib=eyJ2IjoiMSJ9.utZk1ITJNGxHJYvFUbzq0oSD3W9xDkgf0Q8QbO1lvgxNnXQTO5Gy-Q7880u_8bUkmmJUXvJ-oMczOd2XsBpliKwPfWo5hj9L5R9Wgjx9F-b89WhAwaA7rgMrsh5a4Ey4Se4_2jyYxinuNJBfbkFK047fxm7RyIspriIMgM8spmN66BSYqYGl5qZ_UKxyFRbZNoHUDf36qPnvwkB-BkBRgvTzDrr6fOMgz27CbbepMBE.YQg3tC2cYQtlo50Sf4eREgw3Sx_lVsZMMWhAeABBwMY&amp;dib_tag=se&amp;keywords=%2310-24%2Bx%2B0.75in%2BFlat%2BCountersunk%2BHead%2BHex%2BSocket&amp;qid=1739921970&amp;sprefix=%2B10-24%2Bx%2B0.75in%2Bflat%2Bcountersunk%2Bhead%2Bhex%2Bsocket%2Caps%2C79&amp;sr=8-1&amp;th=1</t>
  </si>
  <si>
    <t>Saftey</t>
  </si>
  <si>
    <t>Goggles</t>
  </si>
  <si>
    <t>(12) Polycarbonate Protective Safety Glasses</t>
  </si>
  <si>
    <t>https://www.amazon.com/YENPK-Glasses-Resistant-Sunglasses-Protection/dp/B0D9LSJSTF/ref=sr_1_2?crid=1NR22JECWLIKA&amp;dib=eyJ2IjoiMSJ9.Isl2VgabhugCapJvcPNIZYFFE1bb6SMyopJHqDn3RwmwTmE6ROWJf4_wNsaJuL2jffSOpJx_2_9RM0LvCuooh7DS5rQBd37ndUCE4cAdPUheDkxQWeIyj6Zj3jZONFpfEs71El9xF10e5XTHAJF2U-ZoJAU7TH2I2orff5jYlNI-w6kpayWHKwIgjd0tKt1ou-a-ATGV4kIfGGWv3MuNoeDHylz7n78XSSRw8RLrxAHBBA4XtDJCic0kBh5v6YXZZVMCcQhBpC5AKOcDO_YU_fW0x43nnJzeP_peqD8sm0wtvC8Mz1661hFiIi2hGmitwm3qyKgLc-gniN0ghDwOLjjzjyy_LsxgBpGI5tcsSV8Kr1-4pV-lSdK51wrafSDDbZdKZR7vnNZeyBCjJo_dRczVEW0uxSvd2u2Q4v1NFQ8Yc6CMSl43mGN1-s5ccATr.QxJs5gCMJ9bWdSAZHy6jgkVOt65xglUQWm135JQU19Q&amp;dib_tag=se&amp;keywords=safety+glasses+12+pack&amp;qid=1739843541&amp;sprefix=Safety+Glasses+12%2Caps%2C110&amp;sr=8-2</t>
  </si>
  <si>
    <t>Gloves</t>
  </si>
  <si>
    <t>(12) (Medium) ANSI A5 Polyurethane Coated Work Gloves</t>
  </si>
  <si>
    <t>https://www.amazon.com/Griffin-Polyurethane-Coated-Gloves-Medium/dp/B085R3ST1X/ref=sr_1_7?crid=1AT4GBUGQNUTD&amp;dib=eyJ2IjoiMSJ9.Edz8YaM4X5Hj06292SppY0yKsbbg0V8GE88LhgLj4EP5LF-_2BQrkMXRGFd4jvwtA5uzoc5s9zPkbeWudJu05g5VCxoDfIrCtIqsFO4eyYEhOpTYvQ5MTauPQuR4gany2fVglWJd0JK-7GsUj1YWdBakkZ4_JorU7xRDNhJ5QPRsx3e-iM8_49_zzhsGceITd2QUXxv5CKwL3Crt-8zjeaqgFa9sbDkeQoEk6kHNjoVypuAkqFQv1HM48UeSzBHyWrvDOVTD8fTFdzc60qykHYN08gXS-wweG65PRtA2iFdvM_5VrEazbc8XRYrqHyZ3evNRUhbNyRaLB1-xzDjwXGNtA9c2_MvZ47yc04Jv-5MECCcmlPSKVbFYwqUG6A8mZ64zOKz5far76GPpPvVGf2lUPwjk1cRSGJbjYblxLq3Fv9W73CONg36r3pqb1soF.Bodv3c2qIWQnpvXhIZT6dGdMDSK_RqPiCwSJc168gM0&amp;dib_tag=se&amp;keywords=a5%2Bcut%2Bresistant%2Bgloves%2B12&amp;qid=1739843664&amp;sprefix=a5%2Bcut%2Bresistant%2Bgloves%2B12%2Caps%2C104&amp;sr=8-7&amp;th=1</t>
  </si>
  <si>
    <t>Riverside Robotics</t>
  </si>
  <si>
    <t>Wheel Hub</t>
  </si>
  <si>
    <t>T81 Hub, 1/2in Hex Shaft</t>
  </si>
  <si>
    <t>https://banebots.com/t81-hub-1-2in-hex-shaft/</t>
  </si>
  <si>
    <t>Wheel</t>
  </si>
  <si>
    <t>BaneBots Wheel</t>
  </si>
  <si>
    <t>https://banebots.com/banebots-wheel-3-7-8-x-0-8-hub-mount-30a-green/</t>
  </si>
  <si>
    <t>EZRUN 3660 SL G2 Motor</t>
  </si>
  <si>
    <t>https://www.hobbywingdirect.com/products/ezrun-3660sl-g2-motors</t>
  </si>
  <si>
    <t>EZRUN MAX10 SCT</t>
  </si>
  <si>
    <t>https://www.hobbywingdirect.com/products/ezrun-max10-sct</t>
  </si>
  <si>
    <t>(16) LANIAKEA Ball Bearing 5/8in</t>
  </si>
  <si>
    <t>https://www.amazon.com/LANIAKEA-Transfer-Bearings-Transmission-Furniture/dp/B0895QYYSV/ref=sr_1_19?dchild=1&amp;keywords=casters+ball+bearing&amp;qid=1615676626&amp;sr=8-19</t>
  </si>
  <si>
    <t>Battery</t>
  </si>
  <si>
    <t>Liperior 2700mAh 4S 30C 14.8V Lipo Battery with XT60 Plug for RC Plane / Heli</t>
  </si>
  <si>
    <t>https://share.google/lvfP08Ir7iSB79n1B</t>
  </si>
  <si>
    <t>Charger</t>
  </si>
  <si>
    <t xml:space="preserve">MORE MORE MORE BATTERY CHARGER </t>
  </si>
  <si>
    <t>MORE MORE MORE MORE</t>
  </si>
  <si>
    <t>Killswitch</t>
  </si>
  <si>
    <t>MS-05 Switch</t>
  </si>
  <si>
    <t>https://teamwhyachi.com/product/ms-05-switch/</t>
  </si>
  <si>
    <t>Advisors (Carbones)</t>
  </si>
  <si>
    <t>Chassis, Weapon</t>
  </si>
  <si>
    <t>CNC Mill</t>
  </si>
  <si>
    <t>Lunyee 3018 Pro Ultra CNC Machine 500W All-Metal CNC</t>
  </si>
  <si>
    <t>https://www.amazon.com/dp/B0CHM481NS?ref=ppx_yo2ov_dt_b_fed_asin_title&amp;th=1</t>
  </si>
  <si>
    <t>Club</t>
  </si>
  <si>
    <t>Shirts</t>
  </si>
  <si>
    <t>Vistaprint Custom Team Shirts (2025)</t>
  </si>
  <si>
    <t>https://www.vistaprint.com/oh/</t>
  </si>
  <si>
    <t>Gyro</t>
  </si>
  <si>
    <t>WT901 High-Accuracy 3-axis Acceleration+Gyroscope+Tilt Angle +Magnetometer with Kalman Filtering, 9-axis MPU9250 USB 200Hz IMU Raspberry Pi AHRS Module</t>
  </si>
  <si>
    <t>https://www.amazon.com/dp/B07GBRTB5K?ref=ppx_yo2ov_dt_b_fed_asin_title</t>
  </si>
  <si>
    <t>Drill Bit Packs</t>
  </si>
  <si>
    <t>Milwaukee Tool Hex Bits</t>
  </si>
  <si>
    <t>https://www.homedepot.com/</t>
  </si>
  <si>
    <t>Filament</t>
  </si>
  <si>
    <t>PLA Filament</t>
  </si>
  <si>
    <t>(student-sourced)</t>
  </si>
  <si>
    <t>P6S Gearbox: Standard Duty, 20:1</t>
  </si>
  <si>
    <t>https://banebots.com/p6s-54-s/</t>
  </si>
  <si>
    <t>Advisors</t>
  </si>
  <si>
    <t>Team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</si>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</sst>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2">
    <font>
      <sz val="10.0"/>
      <color rgb="FF000000"/>
      <name val="Arial"/>
      <scheme val="minor"/>
    </font>
    <font>
      <b/>
      <sz val="10.0"/>
      <color theme="1"/>
      <name val="Lexend"/>
    </font>
    <font>
      <sz val="10.0"/>
      <color theme="1"/>
      <name val="Lexend"/>
    </font>
    <font>
      <sz val="10.0"/>
      <color rgb="FF000000"/>
      <name val="Lexend"/>
    </font>
    <font>
      <u/>
      <sz val="10.0"/>
      <color rgb="FF000000"/>
      <name val="Lexend"/>
    </font>
    <font>
      <sz val="10.0"/>
      <color rgb="FF666666"/>
      <name val="Lexend"/>
    </font>
    <font>
      <color rgb="FF000000"/>
      <name val="Lexend"/>
    </font>
    <font>
      <u/>
      <color rgb="FF000000"/>
      <name val="Lexend"/>
    </font>
    <font>
      <u/>
      <color rgb="FF0000FF"/>
      <name val="Lexend"/>
    </font>
    <font>
      <u/>
      <sz val="10.0"/>
      <color rgb="FF000000"/>
      <name val="Lexend"/>
    </font>
    <font>
      <u/>
      <sz val="11.0"/>
      <color rgb="FF1F1F1F"/>
      <name val="Lexend"/>
    </font>
    <font>
      <u/>
      <sz val="11.0"/>
      <color rgb="FF1F1F1F"/>
      <name val="Lexend"/>
    </font>
    <font>
      <u/>
      <sz val="11.0"/>
      <color rgb="FF1F1F1F"/>
      <name val="Lexend"/>
    </font>
    <font>
      <u/>
      <sz val="9.0"/>
      <color rgb="FF000000"/>
      <name val="Lexend"/>
    </font>
    <font>
      <u/>
      <sz val="10.0"/>
      <color rgb="FF000000"/>
      <name val="Lexend"/>
    </font>
    <font>
      <u/>
      <sz val="10.0"/>
      <color rgb="FF000000"/>
      <name val="Lexend"/>
    </font>
    <font>
      <sz val="11.0"/>
      <color theme="1"/>
      <name val="Lexend"/>
    </font>
    <font>
      <sz val="10.0"/>
      <color rgb="FF1F1F1F"/>
      <name val="Lexend"/>
    </font>
    <font>
      <sz val="11.0"/>
      <color rgb="FF000000"/>
      <name val="Lexend"/>
    </font>
    <font>
      <u/>
      <sz val="10.0"/>
      <color rgb="FF000000"/>
      <name val="Lexend"/>
    </font>
    <font>
      <b/>
      <sz val="10.0"/>
      <color rgb="FF000000"/>
      <name val="Lexend"/>
    </font>
    <font>
      <b/>
      <sz val="10.0"/>
      <color rgb="FF666666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2" fontId="5" numFmtId="0" xfId="0" applyAlignment="1" applyFill="1" applyFont="1">
      <alignment shrinkToFit="0" vertical="center" wrapText="0"/>
    </xf>
    <xf borderId="0" fillId="2" fontId="5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3" fontId="10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3" fontId="11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3" fontId="1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5" fontId="3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5" fontId="17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8" numFmtId="49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/>
    </xf>
    <xf borderId="0" fillId="2" fontId="5" numFmtId="164" xfId="0" applyFont="1" applyNumberFormat="1"/>
    <xf borderId="0" fillId="2" fontId="3" numFmtId="164" xfId="0" applyFont="1" applyNumberFormat="1"/>
    <xf borderId="0" fillId="2" fontId="20" numFmtId="0" xfId="0" applyAlignment="1" applyFont="1">
      <alignment readingOrder="0"/>
    </xf>
    <xf borderId="0" fillId="2" fontId="21" numFmtId="164" xfId="0" applyFont="1" applyNumberFormat="1"/>
    <xf borderId="0" fillId="2" fontId="20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>
    <tableStyle count="4" pivot="0" name="Pa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art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4" displayName="Parts" name="Parts" id="1">
  <tableColumns count="12">
    <tableColumn name="Requested Buyer" id="1"/>
    <tableColumn name="Category" id="2"/>
    <tableColumn name="Part" id="3"/>
    <tableColumn name="Name" id="4"/>
    <tableColumn name="Link" id="5"/>
    <tableColumn name="Unit Price" id="6"/>
    <tableColumn name="# Owned" id="7"/>
    <tableColumn name="# Needed" id="8"/>
    <tableColumn name="Part #" id="9"/>
    <tableColumn name="# Total" id="10"/>
    <tableColumn name="Actual Price" id="11"/>
    <tableColumn name="New Expendetures (2025)" id="12"/>
  </tableColumns>
  <tableStyleInfo name="Parts-style" showColumnStripes="0" showFirstColumn="1" showLastColumn="1" showRowStripes="1"/>
</table>
</file>

<file path=xl/tables/table2.xml><?xml version="1.0" encoding="utf-8"?>
<table xmlns="http://schemas.openxmlformats.org/spreadsheetml/2006/main" headerRowCount="0" ref="J36:L40" displayName="Table_1" name="Table_1" id="2">
  <tableColumns count="3">
    <tableColumn name="Column1" id="1"/>
    <tableColumn name="Column2" id="2"/>
    <tableColumn name="Column3" id="3"/>
  </tableColumns>
  <tableStyleInfo name="Part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anebots.com/banebots-wheel-3-7-8-x-0-8-hub-mount-30a-green/" TargetMode="External"/><Relationship Id="rId22" Type="http://schemas.openxmlformats.org/officeDocument/2006/relationships/hyperlink" Target="https://www.hobbywingdirect.com/products/ezrun-max10-sct" TargetMode="External"/><Relationship Id="rId21" Type="http://schemas.openxmlformats.org/officeDocument/2006/relationships/hyperlink" Target="https://www.hobbywingdirect.com/products/ezrun-3660sl-g2-motors" TargetMode="External"/><Relationship Id="rId24" Type="http://schemas.openxmlformats.org/officeDocument/2006/relationships/hyperlink" Target="https://share.google/lvfP08Ir7iSB79n1B" TargetMode="External"/><Relationship Id="rId23" Type="http://schemas.openxmlformats.org/officeDocument/2006/relationships/hyperlink" Target="https://www.amazon.com/LANIAKEA-Transfer-Bearings-Transmission-Furniture/dp/B0895QYYSV/ref=sr_1_19?dchild=1&amp;keywords=casters+ball+bearing&amp;qid=1615676626&amp;sr=8-19" TargetMode="External"/><Relationship Id="rId1" Type="http://schemas.openxmlformats.org/officeDocument/2006/relationships/hyperlink" Target="https://www.mcmaster.com/products/aluminum-plates/thickness~3-8-2/thickness~0-375/width~8/length~24/length~2-ft/" TargetMode="External"/><Relationship Id="rId2" Type="http://schemas.openxmlformats.org/officeDocument/2006/relationships/hyperlink" Target="https://www.mcmaster.com/89015K319/" TargetMode="External"/><Relationship Id="rId3" Type="http://schemas.openxmlformats.org/officeDocument/2006/relationships/hyperlink" Target="https://www.mcmaster.com/catalog/131/4219/89015K319steel~/shape~sheet-and-bar/thickness~1-000/thickness~1-3/impact-resistant-a516-carbon-steel/" TargetMode="External"/><Relationship Id="rId4" Type="http://schemas.openxmlformats.org/officeDocument/2006/relationships/hyperlink" Target="https://www.amazon.com/R8-2RS-Sealed-Ball-Bearing-x1-1/dp/B0B3J1W6NZ/ref=sr_1_4?crid=101PO0XCGR78Y&amp;dib=eyJ2IjoiMSJ9.L-LoLVn4gXzsObnzmbu26OeX5osCMxMRnkTPrRWjyRfR8x8Pm6YAg6P2qxxwm2CebAhkw41lQvmWVTyufiRreocHQ38Z4S6y9-jUuYBIPmxmzdjeGUnQsyeo8q_2wOGUXFabSX__1yCai5ldGB0aRhwH2Gg6XiLTvWcxIeQq8xa_rjwP4Hku91yPukAQR_uS2B6rYtFdauCuMb6f5sJuN-Ucbmm_BxqS9Yn6DikA-Fm5xpNRjGkmj6zg_9AMIOysPS_WJvBWDJK2OJUwMNk1G30jxHNjgHob37nPa55t4UA1G01OIxLlAVBoEcVUPwLuwIm19KeF7inwRwFTwn4zNiibivxr8Cq7GZqRArLoYBc.sdVjBODL552B0_eysEaS9WDOxVTzeG4jg75iYqwFqr8&amp;dib_tag=se&amp;keywords=R8-2RS%2BShielded%2BBearing&amp;qid=1739916946&amp;s=industrial&amp;sprefix=r8-2rs%2Bshielded%2Bbearing%2Cindustrial%2C82&amp;sr=1-4&amp;th=1" TargetMode="External"/><Relationship Id="rId9" Type="http://schemas.openxmlformats.org/officeDocument/2006/relationships/hyperlink" Target="https://www.amazon.com/Elegoo-EL-CP-004-Multicolored-Breadboard-arduino/dp/B01EV70C78/ref=sr_1_1_sspa?crid=2LK9WKSZMRIUY&amp;dib=eyJ2IjoiMSJ9.tjHxIQLJsk16_0YVtUGN6S6iuxj4sNk3ew3kIjjT561C6TtS8BuhZ7R9bzBAlgOTzqO8ISg5dgsei3AKhkFpmcmjz_LcuqG2WbKRBURpw7aU_csPgma9NdFOaIZvvGc-WT34rb_lB3yaZ_sKh8fa2metF_c_UWtrWrivVj6a9dlKfYiT6l4we2MS2YPygYt31mc9bQKc5Z_0yUELWcAd6EX6-XxQgD2em1Sjc6fQ_BQ.rD5rwPrS_1PTnmMys5suuC3QRpujfRayA1ahJn3yb00&amp;dib_tag=se&amp;keywords=jumper+wires&amp;qid=1739576097&amp;sprefix=jumper+wires%2Caps%2C121&amp;sr=8-1-spons&amp;sp_csd=d2lkZ2V0TmFtZT1zcF9hdGY&amp;psc=1" TargetMode="External"/><Relationship Id="rId26" Type="http://schemas.openxmlformats.org/officeDocument/2006/relationships/hyperlink" Target="https://www.amazon.com/dp/B0CHM481NS?ref=ppx_yo2ov_dt_b_fed_asin_title&amp;th=1" TargetMode="External"/><Relationship Id="rId25" Type="http://schemas.openxmlformats.org/officeDocument/2006/relationships/hyperlink" Target="https://teamwhyachi.com/product/ms-05-switch/" TargetMode="External"/><Relationship Id="rId28" Type="http://schemas.openxmlformats.org/officeDocument/2006/relationships/hyperlink" Target="https://www.amazon.com/dp/B07GBRTB5K?ref=ppx_yo2ov_dt_b_fed_asin_title" TargetMode="External"/><Relationship Id="rId27" Type="http://schemas.openxmlformats.org/officeDocument/2006/relationships/hyperlink" Target="https://www.vistaprint.com/oh/" TargetMode="External"/><Relationship Id="rId5" Type="http://schemas.openxmlformats.org/officeDocument/2006/relationships/hyperlink" Target="https://www.amazon.com/Raspberry-Pi-4-4G-Model/dp/B081YD3VL5" TargetMode="External"/><Relationship Id="rId6" Type="http://schemas.openxmlformats.org/officeDocument/2006/relationships/hyperlink" Target="https://www.amazon.com/Wolfwhoop-XT60-Connector-Housing-Silicon/dp/B07C5J43ZL/ref=sr_1_8?crid=134JNQ748Z84Y&amp;dib=eyJ2IjoiMSJ9.DgBQ1jw2St8D7mZsX110Wb78TP2ymBHqDVjnG_GaEY6ucokvED75KSk9baJJqUw5zeiZnnztbLeBY0-h7s3__a26Vaj5YcjMMjvqtbs5_9wdf5fWNwJR-Wy4KX5lcMLgpg1bg7ktWTcctB9RvJNMMq8Sq9vkicxPsEb2pChPDtylKTYs3rC4BGq70s6ezqbAKM5ylsmV7t9KMlDIHwo9H2cfWOtXwXxIu5DuhP0dwj2xfGV4TPnpTofbDwrGCur1uEq5t7PbjKVk2XfXL5k17Zm3idnPzVOrgsFwBm_hPJ-42utrAIGH70oWEx6lPCWh9k11pbrKQ-OQAYLOjtnjwMakN2ONYvMxwGMvNLTWVywcQX-Z6mDNSVAhQaYLwqpUXXAdhNhX3uVtjlwCVAguDQJ6xqwUWyfT--AOZWkm1amiBZdmcH1hkbFIf1WDwAKj.S_p0gBXKTUS7bn4ahV-eGV920gXyJG31vGbs9zWNXJg&amp;dib_tag=se&amp;keywords=xt60+connector+wire&amp;qid=1739573417&amp;sprefix=xt60+connector+wir%2Caps%2C104&amp;sr=8-8" TargetMode="External"/><Relationship Id="rId29" Type="http://schemas.openxmlformats.org/officeDocument/2006/relationships/hyperlink" Target="https://www.homedepot.com/" TargetMode="External"/><Relationship Id="rId7" Type="http://schemas.openxmlformats.org/officeDocument/2006/relationships/hyperlink" Target="https://share.google/WEV3vj3xdpeda6Fa1" TargetMode="External"/><Relationship Id="rId8" Type="http://schemas.openxmlformats.org/officeDocument/2006/relationships/hyperlink" Target="https://www.amazon.com/gp/product/B0CHM5QS3N/ref=sw_img_1?smid=AKFL6YKYZULXS&amp;th=1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banebots.com/p6s-54-s/" TargetMode="External"/><Relationship Id="rId11" Type="http://schemas.openxmlformats.org/officeDocument/2006/relationships/hyperlink" Target="https://www.amazon.com/Official-Creality-Precision-Toughness-Moistureproof/dp/B0C8NP63GD/ref=sr_1_3?crid=3F9WKM8TGCMY4&amp;dib=eyJ2IjoiMSJ9.yf4QrGfdb01bS0owhB7XaI17PZc505K7I973RY-S-ZO8Mef7UgoY0dY768IQBW7E41zoqtAyUPofLZNQ4vZ8o7lC5s4_eoOsjGnPNf1P-1ZUUjCQuan694xe2xMQItyr_Ek3Ed_TqvAOOC-5BPEReq1JVImiDWKzuUtTOWhVWIXvCJG5r8vvnI_Mcv3D4CRlND0U255wKIibrjRkD1KBN_9INwwD-kEYZVnMn8o9yoc.cD4Z0IQl7NzZKD-S-dLBYULVgLKq1VOwCjKIwljj2Rk&amp;dib_tag=se&amp;keywords=pet%2Bg&amp;qid=1739578057&amp;sprefix=pet%2B%2Caps%2C152&amp;sr=8-3&amp;th=1" TargetMode="External"/><Relationship Id="rId10" Type="http://schemas.openxmlformats.org/officeDocument/2006/relationships/hyperlink" Target="https://www.amazon.com/eSUN-Flexible-Filament-Printing-Printers/dp/B08RRWZRPQ/ref=sr_1_8?crid=1VH7YQ5B9N9X5&amp;dib=eyJ2IjoiMSJ9.PVgsvaLznWDEBX1kB-9U3287njxCpNQ1yD2SDHzTMdq1pVJjE4mEgs8zPL9gEClSKOJXnH8q4yvrH_UKxZYTqXQZt_So18LZbSd7_aUR0QL8zPOx5e-OWXenJuuRBHGPEYURf8Umt4bi1r_Nj3FMP3Q5GrJ-ZjF7TJklek_bG7yFrrWWDo3b8vRsUMPslaBt2EddvFVeahO9tOlA20Oa7hlHyD9CNFu9YNGkZrkCPkg.vOOrtG7U-19fJcyvqwgod2XbFjZSvJlWkbdTb4yWTc0&amp;dib_tag=se&amp;keywords=tpe+filament+95a&amp;qid=1739577855&amp;sprefix=tpe+filament+95a%2Caps%2C103&amp;sr=8-8" TargetMode="External"/><Relationship Id="rId13" Type="http://schemas.openxmlformats.org/officeDocument/2006/relationships/hyperlink" Target="https://share.google/xgnd6Wb7NK2x8JHfx" TargetMode="External"/><Relationship Id="rId35" Type="http://schemas.openxmlformats.org/officeDocument/2006/relationships/table" Target="../tables/table2.xml"/><Relationship Id="rId12" Type="http://schemas.openxmlformats.org/officeDocument/2006/relationships/hyperlink" Target="https://share.google/lZljnIYV1s7Qoj4nu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www.amazon.com/10-24-Button-Socket-Screw-Thread/dp/B07NCKK4ZW" TargetMode="External"/><Relationship Id="rId14" Type="http://schemas.openxmlformats.org/officeDocument/2006/relationships/hyperlink" Target="https://share.google/CJMUQI0gt8t5kmACn" TargetMode="External"/><Relationship Id="rId17" Type="http://schemas.openxmlformats.org/officeDocument/2006/relationships/hyperlink" Target="https://www.amazon.com/YENPK-Glasses-Resistant-Sunglasses-Protection/dp/B0D9LSJSTF/ref=sr_1_2?crid=1NR22JECWLIKA&amp;dib=eyJ2IjoiMSJ9.Isl2VgabhugCapJvcPNIZYFFE1bb6SMyopJHqDn3RwmwTmE6ROWJf4_wNsaJuL2jffSOpJx_2_9RM0LvCuooh7DS5rQBd37ndUCE4cAdPUheDkxQWeIyj6Zj3jZONFpfEs71El9xF10e5XTHAJF2U-ZoJAU7TH2I2orff5jYlNI-w6kpayWHKwIgjd0tKt1ou-a-ATGV4kIfGGWv3MuNoeDHylz7n78XSSRw8RLrxAHBBA4XtDJCic0kBh5v6YXZZVMCcQhBpC5AKOcDO_YU_fW0x43nnJzeP_peqD8sm0wtvC8Mz1661hFiIi2hGmitwm3qyKgLc-gniN0ghDwOLjjzjyy_LsxgBpGI5tcsSV8Kr1-4pV-lSdK51wrafSDDbZdKZR7vnNZeyBCjJo_dRczVEW0uxSvd2u2Q4v1NFQ8Yc6CMSl43mGN1-s5ccATr.QxJs5gCMJ9bWdSAZHy6jgkVOt65xglUQWm135JQU19Q&amp;dib_tag=se&amp;keywords=safety+glasses+12+pack&amp;qid=1739843541&amp;sprefix=Safety+Glasses+12%2Caps%2C110&amp;sr=8-2" TargetMode="External"/><Relationship Id="rId16" Type="http://schemas.openxmlformats.org/officeDocument/2006/relationships/hyperlink" Target="https://www.amazon.com/Socket-Screws-Countersunk-Stainless-Machine/dp/B08DNTQ8WP/ref=sr_1_1?crid=18K2ATIKB80Q&amp;dib=eyJ2IjoiMSJ9.utZk1ITJNGxHJYvFUbzq0oSD3W9xDkgf0Q8QbO1lvgxNnXQTO5Gy-Q7880u_8bUkmmJUXvJ-oMczOd2XsBpliKwPfWo5hj9L5R9Wgjx9F-b89WhAwaA7rgMrsh5a4Ey4Se4_2jyYxinuNJBfbkFK047fxm7RyIspriIMgM8spmN66BSYqYGl5qZ_UKxyFRbZNoHUDf36qPnvwkB-BkBRgvTzDrr6fOMgz27CbbepMBE.YQg3tC2cYQtlo50Sf4eREgw3Sx_lVsZMMWhAeABBwMY&amp;dib_tag=se&amp;keywords=%2310-24%2Bx%2B0.75in%2BFlat%2BCountersunk%2BHead%2BHex%2BSocket&amp;qid=1739921970&amp;sprefix=%2B10-24%2Bx%2B0.75in%2Bflat%2Bcountersunk%2Bhead%2Bhex%2Bsocket%2Caps%2C79&amp;sr=8-1&amp;th=1" TargetMode="External"/><Relationship Id="rId19" Type="http://schemas.openxmlformats.org/officeDocument/2006/relationships/hyperlink" Target="https://banebots.com/t81-hub-1-2in-hex-shaft/" TargetMode="External"/><Relationship Id="rId18" Type="http://schemas.openxmlformats.org/officeDocument/2006/relationships/hyperlink" Target="https://www.amazon.com/Griffin-Polyurethane-Coated-Gloves-Medium/dp/B085R3ST1X/ref=sr_1_7?crid=1AT4GBUGQNUTD&amp;dib=eyJ2IjoiMSJ9.Edz8YaM4X5Hj06292SppY0yKsbbg0V8GE88LhgLj4EP5LF-_2BQrkMXRGFd4jvwtA5uzoc5s9zPkbeWudJu05g5VCxoDfIrCtIqsFO4eyYEhOpTYvQ5MTauPQuR4gany2fVglWJd0JK-7GsUj1YWdBakkZ4_JorU7xRDNhJ5QPRsx3e-iM8_49_zzhsGceITd2QUXxv5CKwL3Crt-8zjeaqgFa9sbDkeQoEk6kHNjoVypuAkqFQv1HM48UeSzBHyWrvDOVTD8fTFdzc60qykHYN08gXS-wweG65PRtA2iFdvM_5VrEazbc8XRYrqHyZ3evNRUhbNyRaLB1-xzDjwXGNtA9c2_MvZ47yc04Jv-5MECCcmlPSKVbFYwqUG6A8mZ64zOKz5far76GPpPvVGf2lUPwjk1cRSGJbjYblxLq3Fv9W73CONg36r3pqb1soF.Bodv3c2qIWQnpvXhIZT6dGdMDSK_RqPiCwSJc168gM0&amp;dib_tag=se&amp;keywords=a5%2Bcut%2Bresistant%2Bgloves%2B12&amp;qid=1739843664&amp;sprefix=a5%2Bcut%2Bresistant%2Bgloves%2B12%2Caps%2C104&amp;sr=8-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2.38"/>
    <col customWidth="1" min="3" max="3" width="15.63"/>
    <col customWidth="1" min="4" max="4" width="31.75"/>
    <col customWidth="1" min="5" max="5" width="12.25"/>
    <col customWidth="1" min="6" max="6" width="11.38"/>
    <col customWidth="1" min="7" max="7" width="12.63"/>
    <col customWidth="1" min="8" max="8" width="12.0"/>
    <col customWidth="1" min="9" max="9" width="0.38"/>
    <col customWidth="1" min="10" max="10" width="10.63"/>
    <col customWidth="1" min="11" max="11" width="15.63"/>
    <col customWidth="1" min="12" max="12" width="2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3" t="s">
        <v>12</v>
      </c>
      <c r="B2" s="4" t="s">
        <v>13</v>
      </c>
      <c r="C2" s="5" t="s">
        <v>14</v>
      </c>
      <c r="D2" s="6" t="s">
        <v>15</v>
      </c>
      <c r="E2" s="7" t="s">
        <v>16</v>
      </c>
      <c r="F2" s="8">
        <v>78.19</v>
      </c>
      <c r="G2" s="6">
        <v>0.0</v>
      </c>
      <c r="H2" s="6">
        <v>2.0</v>
      </c>
      <c r="I2" s="6" t="s">
        <v>17</v>
      </c>
      <c r="J2" s="9">
        <f t="shared" ref="J2:J3" si="1">G2+H2</f>
        <v>2</v>
      </c>
      <c r="K2" s="10">
        <f t="shared" ref="K2:K34" si="2">J2*F2</f>
        <v>156.38</v>
      </c>
      <c r="L2" s="10">
        <f t="shared" ref="L2:L34" si="3">F2*H2</f>
        <v>156.38</v>
      </c>
    </row>
    <row r="3" ht="22.5" customHeight="1">
      <c r="A3" s="3" t="s">
        <v>12</v>
      </c>
      <c r="B3" s="4" t="s">
        <v>13</v>
      </c>
      <c r="C3" s="5" t="s">
        <v>18</v>
      </c>
      <c r="D3" s="6" t="s">
        <v>19</v>
      </c>
      <c r="E3" s="7" t="s">
        <v>20</v>
      </c>
      <c r="F3" s="8">
        <v>232.0</v>
      </c>
      <c r="G3" s="6">
        <v>0.0</v>
      </c>
      <c r="H3" s="6">
        <v>1.0</v>
      </c>
      <c r="I3" s="6" t="s">
        <v>21</v>
      </c>
      <c r="J3" s="9">
        <f t="shared" si="1"/>
        <v>1</v>
      </c>
      <c r="K3" s="10">
        <f t="shared" si="2"/>
        <v>232</v>
      </c>
      <c r="L3" s="10">
        <f t="shared" si="3"/>
        <v>232</v>
      </c>
    </row>
    <row r="4" ht="22.5" customHeight="1">
      <c r="A4" s="3" t="s">
        <v>12</v>
      </c>
      <c r="B4" s="11" t="s">
        <v>22</v>
      </c>
      <c r="C4" s="5" t="s">
        <v>23</v>
      </c>
      <c r="D4" s="6" t="s">
        <v>24</v>
      </c>
      <c r="E4" s="7" t="s">
        <v>25</v>
      </c>
      <c r="F4" s="8">
        <v>208.35</v>
      </c>
      <c r="G4" s="6">
        <v>0.0</v>
      </c>
      <c r="H4" s="6">
        <v>1.0</v>
      </c>
      <c r="I4" s="6" t="s">
        <v>26</v>
      </c>
      <c r="J4" s="12">
        <v>1.0</v>
      </c>
      <c r="K4" s="10">
        <f t="shared" si="2"/>
        <v>208.35</v>
      </c>
      <c r="L4" s="10">
        <f t="shared" si="3"/>
        <v>208.35</v>
      </c>
    </row>
    <row r="5" ht="22.5" customHeight="1">
      <c r="A5" s="3" t="s">
        <v>27</v>
      </c>
      <c r="B5" s="4" t="s">
        <v>28</v>
      </c>
      <c r="C5" s="6" t="s">
        <v>29</v>
      </c>
      <c r="D5" s="13" t="s">
        <v>30</v>
      </c>
      <c r="E5" s="14" t="s">
        <v>31</v>
      </c>
      <c r="F5" s="8">
        <v>12.99</v>
      </c>
      <c r="G5" s="6">
        <v>0.0</v>
      </c>
      <c r="H5" s="6">
        <v>1.0</v>
      </c>
      <c r="I5" s="15"/>
      <c r="J5" s="9">
        <f t="shared" ref="J5:J34" si="4">G5+H5</f>
        <v>1</v>
      </c>
      <c r="K5" s="10">
        <f t="shared" si="2"/>
        <v>12.99</v>
      </c>
      <c r="L5" s="10">
        <f t="shared" si="3"/>
        <v>12.99</v>
      </c>
    </row>
    <row r="6" ht="22.5" customHeight="1">
      <c r="A6" s="3" t="s">
        <v>27</v>
      </c>
      <c r="B6" s="4" t="s">
        <v>32</v>
      </c>
      <c r="C6" s="6" t="s">
        <v>33</v>
      </c>
      <c r="D6" s="16" t="s">
        <v>34</v>
      </c>
      <c r="E6" s="17" t="s">
        <v>35</v>
      </c>
      <c r="F6" s="8">
        <v>97.99</v>
      </c>
      <c r="G6" s="6">
        <v>0.0</v>
      </c>
      <c r="H6" s="6">
        <v>2.0</v>
      </c>
      <c r="I6" s="15" t="s">
        <v>36</v>
      </c>
      <c r="J6" s="9">
        <f t="shared" si="4"/>
        <v>2</v>
      </c>
      <c r="K6" s="10">
        <f t="shared" si="2"/>
        <v>195.98</v>
      </c>
      <c r="L6" s="10">
        <f t="shared" si="3"/>
        <v>195.98</v>
      </c>
    </row>
    <row r="7" ht="22.5" customHeight="1">
      <c r="A7" s="3" t="s">
        <v>27</v>
      </c>
      <c r="B7" s="4" t="s">
        <v>37</v>
      </c>
      <c r="C7" s="6" t="s">
        <v>38</v>
      </c>
      <c r="D7" s="18" t="s">
        <v>39</v>
      </c>
      <c r="E7" s="19" t="s">
        <v>40</v>
      </c>
      <c r="F7" s="8">
        <v>12.99</v>
      </c>
      <c r="G7" s="6">
        <v>0.0</v>
      </c>
      <c r="H7" s="6">
        <v>1.0</v>
      </c>
      <c r="I7" s="15"/>
      <c r="J7" s="9">
        <f t="shared" si="4"/>
        <v>1</v>
      </c>
      <c r="K7" s="10">
        <f t="shared" si="2"/>
        <v>12.99</v>
      </c>
      <c r="L7" s="10">
        <f t="shared" si="3"/>
        <v>12.99</v>
      </c>
    </row>
    <row r="8" ht="22.5" customHeight="1">
      <c r="A8" s="3" t="s">
        <v>27</v>
      </c>
      <c r="B8" s="4" t="s">
        <v>13</v>
      </c>
      <c r="C8" s="5" t="s">
        <v>41</v>
      </c>
      <c r="D8" s="20" t="s">
        <v>42</v>
      </c>
      <c r="E8" s="21" t="s">
        <v>43</v>
      </c>
      <c r="F8" s="8">
        <v>9.99</v>
      </c>
      <c r="G8" s="6">
        <v>0.0</v>
      </c>
      <c r="H8" s="6">
        <v>1.0</v>
      </c>
      <c r="I8" s="15"/>
      <c r="J8" s="9">
        <f t="shared" si="4"/>
        <v>1</v>
      </c>
      <c r="K8" s="10">
        <f t="shared" si="2"/>
        <v>9.99</v>
      </c>
      <c r="L8" s="10">
        <f t="shared" si="3"/>
        <v>9.99</v>
      </c>
    </row>
    <row r="9" ht="22.5" customHeight="1">
      <c r="A9" s="3" t="s">
        <v>27</v>
      </c>
      <c r="B9" s="4" t="s">
        <v>44</v>
      </c>
      <c r="C9" s="5" t="s">
        <v>45</v>
      </c>
      <c r="D9" s="6" t="s">
        <v>46</v>
      </c>
      <c r="E9" s="7" t="s">
        <v>47</v>
      </c>
      <c r="F9" s="8">
        <v>11.99</v>
      </c>
      <c r="G9" s="6">
        <v>0.0</v>
      </c>
      <c r="H9" s="6">
        <v>1.0</v>
      </c>
      <c r="I9" s="15"/>
      <c r="J9" s="9">
        <f t="shared" si="4"/>
        <v>1</v>
      </c>
      <c r="K9" s="10">
        <f t="shared" si="2"/>
        <v>11.99</v>
      </c>
      <c r="L9" s="10">
        <f t="shared" si="3"/>
        <v>11.99</v>
      </c>
    </row>
    <row r="10" ht="22.5" customHeight="1">
      <c r="A10" s="3" t="s">
        <v>27</v>
      </c>
      <c r="B10" s="4" t="s">
        <v>32</v>
      </c>
      <c r="C10" s="5" t="s">
        <v>48</v>
      </c>
      <c r="D10" s="6" t="s">
        <v>49</v>
      </c>
      <c r="E10" s="7" t="s">
        <v>50</v>
      </c>
      <c r="F10" s="8">
        <v>6.98</v>
      </c>
      <c r="G10" s="6">
        <v>0.0</v>
      </c>
      <c r="H10" s="6">
        <v>1.0</v>
      </c>
      <c r="I10" s="15"/>
      <c r="J10" s="9">
        <f t="shared" si="4"/>
        <v>1</v>
      </c>
      <c r="K10" s="10">
        <f t="shared" si="2"/>
        <v>6.98</v>
      </c>
      <c r="L10" s="10">
        <f t="shared" si="3"/>
        <v>6.98</v>
      </c>
    </row>
    <row r="11" ht="22.5" customHeight="1">
      <c r="A11" s="3" t="s">
        <v>27</v>
      </c>
      <c r="B11" s="4" t="s">
        <v>13</v>
      </c>
      <c r="C11" s="5" t="s">
        <v>51</v>
      </c>
      <c r="D11" s="6" t="s">
        <v>52</v>
      </c>
      <c r="E11" s="7" t="s">
        <v>53</v>
      </c>
      <c r="F11" s="8">
        <v>28.11</v>
      </c>
      <c r="G11" s="6">
        <v>0.0</v>
      </c>
      <c r="H11" s="6">
        <v>1.0</v>
      </c>
      <c r="I11" s="15"/>
      <c r="J11" s="9">
        <f t="shared" si="4"/>
        <v>1</v>
      </c>
      <c r="K11" s="10">
        <f t="shared" si="2"/>
        <v>28.11</v>
      </c>
      <c r="L11" s="10">
        <f t="shared" si="3"/>
        <v>28.11</v>
      </c>
    </row>
    <row r="12" ht="22.5" customHeight="1">
      <c r="A12" s="3" t="s">
        <v>27</v>
      </c>
      <c r="B12" s="4" t="s">
        <v>13</v>
      </c>
      <c r="C12" s="5" t="s">
        <v>54</v>
      </c>
      <c r="D12" s="6" t="s">
        <v>55</v>
      </c>
      <c r="E12" s="7" t="s">
        <v>56</v>
      </c>
      <c r="F12" s="8">
        <v>12.99</v>
      </c>
      <c r="G12" s="6">
        <v>0.0</v>
      </c>
      <c r="H12" s="6">
        <v>1.0</v>
      </c>
      <c r="I12" s="15"/>
      <c r="J12" s="9">
        <f t="shared" si="4"/>
        <v>1</v>
      </c>
      <c r="K12" s="10">
        <f t="shared" si="2"/>
        <v>12.99</v>
      </c>
      <c r="L12" s="10">
        <f t="shared" si="3"/>
        <v>12.99</v>
      </c>
    </row>
    <row r="13" ht="22.5" customHeight="1">
      <c r="A13" s="3" t="s">
        <v>27</v>
      </c>
      <c r="B13" s="4" t="s">
        <v>28</v>
      </c>
      <c r="C13" s="5" t="s">
        <v>57</v>
      </c>
      <c r="D13" s="20" t="s">
        <v>58</v>
      </c>
      <c r="E13" s="21" t="s">
        <v>59</v>
      </c>
      <c r="F13" s="8">
        <v>9.25</v>
      </c>
      <c r="G13" s="6">
        <v>0.0</v>
      </c>
      <c r="H13" s="6">
        <v>4.0</v>
      </c>
      <c r="I13" s="6" t="s">
        <v>60</v>
      </c>
      <c r="J13" s="9">
        <f t="shared" si="4"/>
        <v>4</v>
      </c>
      <c r="K13" s="10">
        <f t="shared" si="2"/>
        <v>37</v>
      </c>
      <c r="L13" s="10">
        <f t="shared" si="3"/>
        <v>37</v>
      </c>
    </row>
    <row r="14" ht="22.5" customHeight="1">
      <c r="A14" s="3" t="s">
        <v>27</v>
      </c>
      <c r="B14" s="4" t="s">
        <v>28</v>
      </c>
      <c r="C14" s="22" t="s">
        <v>61</v>
      </c>
      <c r="D14" s="20" t="s">
        <v>62</v>
      </c>
      <c r="E14" s="23" t="s">
        <v>63</v>
      </c>
      <c r="F14" s="8">
        <v>16.92</v>
      </c>
      <c r="G14" s="6">
        <v>0.0</v>
      </c>
      <c r="H14" s="6">
        <v>6.0</v>
      </c>
      <c r="I14" s="24"/>
      <c r="J14" s="9">
        <f t="shared" si="4"/>
        <v>6</v>
      </c>
      <c r="K14" s="10">
        <f t="shared" si="2"/>
        <v>101.52</v>
      </c>
      <c r="L14" s="10">
        <f t="shared" si="3"/>
        <v>101.52</v>
      </c>
    </row>
    <row r="15" ht="22.5" customHeight="1">
      <c r="A15" s="3" t="s">
        <v>27</v>
      </c>
      <c r="B15" s="4" t="s">
        <v>28</v>
      </c>
      <c r="C15" s="5" t="s">
        <v>64</v>
      </c>
      <c r="D15" s="20" t="s">
        <v>65</v>
      </c>
      <c r="E15" s="25" t="s">
        <v>66</v>
      </c>
      <c r="F15" s="8">
        <v>7.29</v>
      </c>
      <c r="G15" s="6">
        <v>0.0</v>
      </c>
      <c r="H15" s="6">
        <v>1.0</v>
      </c>
      <c r="I15" s="6" t="s">
        <v>67</v>
      </c>
      <c r="J15" s="9">
        <f t="shared" si="4"/>
        <v>1</v>
      </c>
      <c r="K15" s="10">
        <f t="shared" si="2"/>
        <v>7.29</v>
      </c>
      <c r="L15" s="10">
        <f t="shared" si="3"/>
        <v>7.29</v>
      </c>
    </row>
    <row r="16" ht="22.5" customHeight="1">
      <c r="A16" s="3" t="s">
        <v>27</v>
      </c>
      <c r="B16" s="4" t="s">
        <v>13</v>
      </c>
      <c r="C16" s="5" t="s">
        <v>68</v>
      </c>
      <c r="D16" s="20" t="s">
        <v>69</v>
      </c>
      <c r="E16" s="26" t="s">
        <v>70</v>
      </c>
      <c r="F16" s="8">
        <v>67.0</v>
      </c>
      <c r="G16" s="6">
        <v>0.0</v>
      </c>
      <c r="H16" s="6">
        <v>1.0</v>
      </c>
      <c r="I16" s="24"/>
      <c r="J16" s="9">
        <f t="shared" si="4"/>
        <v>1</v>
      </c>
      <c r="K16" s="10">
        <f t="shared" si="2"/>
        <v>67</v>
      </c>
      <c r="L16" s="10">
        <f t="shared" si="3"/>
        <v>67</v>
      </c>
    </row>
    <row r="17" ht="22.5" customHeight="1">
      <c r="A17" s="3" t="s">
        <v>27</v>
      </c>
      <c r="B17" s="4" t="s">
        <v>22</v>
      </c>
      <c r="C17" s="5" t="s">
        <v>71</v>
      </c>
      <c r="D17" s="6" t="s">
        <v>72</v>
      </c>
      <c r="E17" s="7" t="s">
        <v>73</v>
      </c>
      <c r="F17" s="27">
        <v>7.9799999999999995</v>
      </c>
      <c r="G17" s="6">
        <v>0.0</v>
      </c>
      <c r="H17" s="6">
        <v>1.0</v>
      </c>
      <c r="I17" s="24"/>
      <c r="J17" s="9">
        <f t="shared" si="4"/>
        <v>1</v>
      </c>
      <c r="K17" s="10">
        <f t="shared" si="2"/>
        <v>7.98</v>
      </c>
      <c r="L17" s="10">
        <f t="shared" si="3"/>
        <v>7.98</v>
      </c>
    </row>
    <row r="18" ht="22.5" customHeight="1">
      <c r="A18" s="3" t="s">
        <v>27</v>
      </c>
      <c r="B18" s="11" t="s">
        <v>74</v>
      </c>
      <c r="C18" s="5" t="s">
        <v>75</v>
      </c>
      <c r="D18" s="28" t="s">
        <v>76</v>
      </c>
      <c r="E18" s="29" t="s">
        <v>77</v>
      </c>
      <c r="F18" s="27">
        <v>23.39</v>
      </c>
      <c r="G18" s="6">
        <v>0.0</v>
      </c>
      <c r="H18" s="6">
        <v>1.0</v>
      </c>
      <c r="I18" s="24"/>
      <c r="J18" s="9">
        <f t="shared" si="4"/>
        <v>1</v>
      </c>
      <c r="K18" s="10">
        <f t="shared" si="2"/>
        <v>23.39</v>
      </c>
      <c r="L18" s="10">
        <f t="shared" si="3"/>
        <v>23.39</v>
      </c>
    </row>
    <row r="19" ht="22.5" customHeight="1">
      <c r="A19" s="30" t="s">
        <v>27</v>
      </c>
      <c r="B19" s="31" t="s">
        <v>74</v>
      </c>
      <c r="C19" s="32" t="s">
        <v>78</v>
      </c>
      <c r="D19" s="28" t="s">
        <v>79</v>
      </c>
      <c r="E19" s="33" t="s">
        <v>80</v>
      </c>
      <c r="F19" s="34">
        <v>81.43</v>
      </c>
      <c r="G19" s="6">
        <v>0.0</v>
      </c>
      <c r="H19" s="6">
        <v>1.0</v>
      </c>
      <c r="I19" s="35"/>
      <c r="J19" s="9">
        <f t="shared" si="4"/>
        <v>1</v>
      </c>
      <c r="K19" s="10">
        <f t="shared" si="2"/>
        <v>81.43</v>
      </c>
      <c r="L19" s="10">
        <f t="shared" si="3"/>
        <v>81.43</v>
      </c>
    </row>
    <row r="20" ht="22.5" customHeight="1">
      <c r="A20" s="3" t="s">
        <v>81</v>
      </c>
      <c r="B20" s="4" t="s">
        <v>28</v>
      </c>
      <c r="C20" s="5" t="s">
        <v>82</v>
      </c>
      <c r="D20" s="5" t="s">
        <v>83</v>
      </c>
      <c r="E20" s="29" t="s">
        <v>84</v>
      </c>
      <c r="F20" s="8">
        <v>4.5</v>
      </c>
      <c r="G20" s="6">
        <v>8.0</v>
      </c>
      <c r="H20" s="6">
        <v>0.0</v>
      </c>
      <c r="I20" s="15"/>
      <c r="J20" s="9">
        <f t="shared" si="4"/>
        <v>8</v>
      </c>
      <c r="K20" s="10">
        <f t="shared" si="2"/>
        <v>36</v>
      </c>
      <c r="L20" s="10">
        <f t="shared" si="3"/>
        <v>0</v>
      </c>
    </row>
    <row r="21" ht="22.5" customHeight="1">
      <c r="A21" s="3" t="s">
        <v>81</v>
      </c>
      <c r="B21" s="4" t="s">
        <v>28</v>
      </c>
      <c r="C21" s="6" t="s">
        <v>85</v>
      </c>
      <c r="D21" s="6" t="s">
        <v>86</v>
      </c>
      <c r="E21" s="7" t="s">
        <v>87</v>
      </c>
      <c r="F21" s="8">
        <v>4.25</v>
      </c>
      <c r="G21" s="6">
        <v>12.0</v>
      </c>
      <c r="H21" s="6">
        <v>0.0</v>
      </c>
      <c r="I21" s="15"/>
      <c r="J21" s="9">
        <f t="shared" si="4"/>
        <v>12</v>
      </c>
      <c r="K21" s="10">
        <f t="shared" si="2"/>
        <v>51</v>
      </c>
      <c r="L21" s="10">
        <f t="shared" si="3"/>
        <v>0</v>
      </c>
    </row>
    <row r="22" ht="22.5" customHeight="1">
      <c r="A22" s="3" t="s">
        <v>81</v>
      </c>
      <c r="B22" s="4" t="s">
        <v>28</v>
      </c>
      <c r="C22" s="6" t="s">
        <v>85</v>
      </c>
      <c r="D22" s="6" t="s">
        <v>88</v>
      </c>
      <c r="E22" s="7" t="s">
        <v>89</v>
      </c>
      <c r="F22" s="8">
        <v>81.0</v>
      </c>
      <c r="G22" s="6">
        <v>4.0</v>
      </c>
      <c r="H22" s="6">
        <v>0.0</v>
      </c>
      <c r="I22" s="15"/>
      <c r="J22" s="9">
        <f t="shared" si="4"/>
        <v>4</v>
      </c>
      <c r="K22" s="10">
        <f t="shared" si="2"/>
        <v>324</v>
      </c>
      <c r="L22" s="10">
        <f t="shared" si="3"/>
        <v>0</v>
      </c>
    </row>
    <row r="23" ht="22.5" customHeight="1">
      <c r="A23" s="3" t="s">
        <v>81</v>
      </c>
      <c r="B23" s="4" t="s">
        <v>28</v>
      </c>
      <c r="C23" s="6" t="s">
        <v>85</v>
      </c>
      <c r="D23" s="6" t="s">
        <v>90</v>
      </c>
      <c r="E23" s="7" t="s">
        <v>91</v>
      </c>
      <c r="F23" s="8">
        <v>119.0</v>
      </c>
      <c r="G23" s="6">
        <v>4.0</v>
      </c>
      <c r="H23" s="6">
        <v>0.0</v>
      </c>
      <c r="I23" s="15"/>
      <c r="J23" s="9">
        <f t="shared" si="4"/>
        <v>4</v>
      </c>
      <c r="K23" s="10">
        <f t="shared" si="2"/>
        <v>476</v>
      </c>
      <c r="L23" s="10">
        <f t="shared" si="3"/>
        <v>0</v>
      </c>
    </row>
    <row r="24" ht="22.5" customHeight="1">
      <c r="A24" s="3" t="s">
        <v>81</v>
      </c>
      <c r="B24" s="4" t="s">
        <v>28</v>
      </c>
      <c r="C24" s="6" t="s">
        <v>85</v>
      </c>
      <c r="D24" s="6" t="s">
        <v>92</v>
      </c>
      <c r="E24" s="29" t="s">
        <v>93</v>
      </c>
      <c r="F24" s="8">
        <v>16.99</v>
      </c>
      <c r="G24" s="6">
        <v>1.0</v>
      </c>
      <c r="H24" s="6">
        <v>0.0</v>
      </c>
      <c r="I24" s="15"/>
      <c r="J24" s="9">
        <f t="shared" si="4"/>
        <v>1</v>
      </c>
      <c r="K24" s="10">
        <f t="shared" si="2"/>
        <v>16.99</v>
      </c>
      <c r="L24" s="10">
        <f t="shared" si="3"/>
        <v>0</v>
      </c>
    </row>
    <row r="25" ht="22.5" customHeight="1">
      <c r="A25" s="36" t="s">
        <v>81</v>
      </c>
      <c r="B25" s="4" t="s">
        <v>37</v>
      </c>
      <c r="C25" s="6" t="s">
        <v>94</v>
      </c>
      <c r="D25" s="37" t="s">
        <v>95</v>
      </c>
      <c r="E25" s="21" t="s">
        <v>96</v>
      </c>
      <c r="F25" s="8">
        <v>28.99</v>
      </c>
      <c r="G25" s="6">
        <v>6.0</v>
      </c>
      <c r="H25" s="6">
        <v>0.0</v>
      </c>
      <c r="I25" s="15"/>
      <c r="J25" s="9">
        <f t="shared" si="4"/>
        <v>6</v>
      </c>
      <c r="K25" s="10">
        <f t="shared" si="2"/>
        <v>173.94</v>
      </c>
      <c r="L25" s="10">
        <f t="shared" si="3"/>
        <v>0</v>
      </c>
    </row>
    <row r="26" ht="22.5" customHeight="1">
      <c r="A26" s="36" t="s">
        <v>81</v>
      </c>
      <c r="B26" s="38"/>
      <c r="C26" s="39" t="s">
        <v>97</v>
      </c>
      <c r="D26" s="40" t="s">
        <v>98</v>
      </c>
      <c r="E26" s="6"/>
      <c r="F26" s="8"/>
      <c r="G26" s="6"/>
      <c r="H26" s="6"/>
      <c r="I26" s="15"/>
      <c r="J26" s="9">
        <f t="shared" si="4"/>
        <v>0</v>
      </c>
      <c r="K26" s="10">
        <f t="shared" si="2"/>
        <v>0</v>
      </c>
      <c r="L26" s="10">
        <f t="shared" si="3"/>
        <v>0</v>
      </c>
    </row>
    <row r="27" ht="22.5" customHeight="1">
      <c r="A27" s="36" t="s">
        <v>81</v>
      </c>
      <c r="B27" s="38" t="s">
        <v>37</v>
      </c>
      <c r="C27" s="39" t="s">
        <v>94</v>
      </c>
      <c r="D27" s="40" t="s">
        <v>99</v>
      </c>
      <c r="E27" s="6"/>
      <c r="F27" s="8"/>
      <c r="G27" s="6"/>
      <c r="H27" s="6"/>
      <c r="I27" s="15"/>
      <c r="J27" s="9">
        <f t="shared" si="4"/>
        <v>0</v>
      </c>
      <c r="K27" s="10">
        <f t="shared" si="2"/>
        <v>0</v>
      </c>
      <c r="L27" s="10">
        <f t="shared" si="3"/>
        <v>0</v>
      </c>
    </row>
    <row r="28" ht="22.5" customHeight="1">
      <c r="A28" s="3" t="s">
        <v>81</v>
      </c>
      <c r="B28" s="4" t="s">
        <v>37</v>
      </c>
      <c r="C28" s="6" t="s">
        <v>100</v>
      </c>
      <c r="D28" s="6" t="s">
        <v>101</v>
      </c>
      <c r="E28" s="7" t="s">
        <v>102</v>
      </c>
      <c r="F28" s="8">
        <v>75.0</v>
      </c>
      <c r="G28" s="6">
        <v>2.0</v>
      </c>
      <c r="H28" s="6">
        <v>0.0</v>
      </c>
      <c r="I28" s="15"/>
      <c r="J28" s="9">
        <f t="shared" si="4"/>
        <v>2</v>
      </c>
      <c r="K28" s="10">
        <f t="shared" si="2"/>
        <v>150</v>
      </c>
      <c r="L28" s="10">
        <f t="shared" si="3"/>
        <v>0</v>
      </c>
    </row>
    <row r="29" ht="22.5" customHeight="1">
      <c r="A29" s="30" t="s">
        <v>103</v>
      </c>
      <c r="B29" s="31" t="s">
        <v>104</v>
      </c>
      <c r="C29" s="32" t="s">
        <v>105</v>
      </c>
      <c r="D29" s="41" t="s">
        <v>106</v>
      </c>
      <c r="E29" s="42" t="s">
        <v>107</v>
      </c>
      <c r="F29" s="34">
        <v>499.0</v>
      </c>
      <c r="G29" s="41">
        <v>0.0</v>
      </c>
      <c r="H29" s="41">
        <v>1.0</v>
      </c>
      <c r="I29" s="35"/>
      <c r="J29" s="9">
        <f t="shared" si="4"/>
        <v>1</v>
      </c>
      <c r="K29" s="10">
        <f t="shared" si="2"/>
        <v>499</v>
      </c>
      <c r="L29" s="10">
        <f t="shared" si="3"/>
        <v>499</v>
      </c>
    </row>
    <row r="30" ht="22.5" customHeight="1">
      <c r="A30" s="30" t="s">
        <v>103</v>
      </c>
      <c r="B30" s="31" t="s">
        <v>108</v>
      </c>
      <c r="C30" s="32" t="s">
        <v>109</v>
      </c>
      <c r="D30" s="41" t="s">
        <v>110</v>
      </c>
      <c r="E30" s="42" t="s">
        <v>111</v>
      </c>
      <c r="F30" s="34">
        <v>23.909</v>
      </c>
      <c r="G30" s="41">
        <v>0.0</v>
      </c>
      <c r="H30" s="41">
        <v>10.0</v>
      </c>
      <c r="I30" s="35"/>
      <c r="J30" s="9">
        <f t="shared" si="4"/>
        <v>10</v>
      </c>
      <c r="K30" s="10">
        <f t="shared" si="2"/>
        <v>239.09</v>
      </c>
      <c r="L30" s="10">
        <f t="shared" si="3"/>
        <v>239.09</v>
      </c>
    </row>
    <row r="31" ht="22.5" customHeight="1">
      <c r="A31" s="30" t="s">
        <v>103</v>
      </c>
      <c r="B31" s="31" t="s">
        <v>28</v>
      </c>
      <c r="C31" s="32" t="s">
        <v>112</v>
      </c>
      <c r="D31" s="41" t="s">
        <v>113</v>
      </c>
      <c r="E31" s="42" t="s">
        <v>114</v>
      </c>
      <c r="F31" s="34">
        <v>32.65</v>
      </c>
      <c r="G31" s="41">
        <v>0.0</v>
      </c>
      <c r="H31" s="41">
        <v>2.0</v>
      </c>
      <c r="I31" s="35"/>
      <c r="J31" s="9">
        <f t="shared" si="4"/>
        <v>2</v>
      </c>
      <c r="K31" s="10">
        <f t="shared" si="2"/>
        <v>65.3</v>
      </c>
      <c r="L31" s="10">
        <f t="shared" si="3"/>
        <v>65.3</v>
      </c>
    </row>
    <row r="32" ht="22.5" customHeight="1">
      <c r="A32" s="30" t="s">
        <v>103</v>
      </c>
      <c r="B32" s="31" t="s">
        <v>28</v>
      </c>
      <c r="C32" s="32" t="s">
        <v>115</v>
      </c>
      <c r="D32" s="20" t="s">
        <v>116</v>
      </c>
      <c r="E32" s="42" t="s">
        <v>117</v>
      </c>
      <c r="F32" s="34">
        <v>8.55</v>
      </c>
      <c r="G32" s="41">
        <v>0.0</v>
      </c>
      <c r="H32" s="41">
        <v>4.0</v>
      </c>
      <c r="I32" s="35"/>
      <c r="J32" s="9">
        <f t="shared" si="4"/>
        <v>4</v>
      </c>
      <c r="K32" s="10">
        <f t="shared" si="2"/>
        <v>34.2</v>
      </c>
      <c r="L32" s="10">
        <f t="shared" si="3"/>
        <v>34.2</v>
      </c>
    </row>
    <row r="33" ht="22.5" customHeight="1">
      <c r="A33" s="30" t="s">
        <v>103</v>
      </c>
      <c r="B33" s="31" t="s">
        <v>13</v>
      </c>
      <c r="C33" s="32" t="s">
        <v>118</v>
      </c>
      <c r="D33" s="32" t="s">
        <v>119</v>
      </c>
      <c r="E33" s="41" t="s">
        <v>120</v>
      </c>
      <c r="F33" s="34">
        <v>20.0</v>
      </c>
      <c r="G33" s="41">
        <v>0.0</v>
      </c>
      <c r="H33" s="41">
        <v>1.0</v>
      </c>
      <c r="I33" s="35"/>
      <c r="J33" s="9">
        <f t="shared" si="4"/>
        <v>1</v>
      </c>
      <c r="K33" s="10">
        <f t="shared" si="2"/>
        <v>20</v>
      </c>
      <c r="L33" s="10">
        <f t="shared" si="3"/>
        <v>20</v>
      </c>
    </row>
    <row r="34" ht="22.5" customHeight="1">
      <c r="A34" s="3" t="s">
        <v>103</v>
      </c>
      <c r="B34" s="4" t="s">
        <v>28</v>
      </c>
      <c r="C34" s="6" t="s">
        <v>85</v>
      </c>
      <c r="D34" s="6" t="s">
        <v>121</v>
      </c>
      <c r="E34" s="29" t="s">
        <v>122</v>
      </c>
      <c r="F34" s="8">
        <v>63.65</v>
      </c>
      <c r="G34" s="6">
        <v>2.0</v>
      </c>
      <c r="H34" s="6">
        <v>2.0</v>
      </c>
      <c r="I34" s="15"/>
      <c r="J34" s="9">
        <f t="shared" si="4"/>
        <v>4</v>
      </c>
      <c r="K34" s="10">
        <f t="shared" si="2"/>
        <v>254.6</v>
      </c>
      <c r="L34" s="10">
        <f t="shared" si="3"/>
        <v>127.3</v>
      </c>
    </row>
    <row r="36">
      <c r="J36" s="43" t="s">
        <v>27</v>
      </c>
      <c r="K36" s="44">
        <f>SUMIF($A2:$A34, "Riverside", $K2:$K34)</f>
        <v>617.63</v>
      </c>
      <c r="L36" s="45">
        <f>SUMIF($A2:$A34, "Riverside", $L2:$L34)</f>
        <v>617.63</v>
      </c>
    </row>
    <row r="37">
      <c r="J37" s="43" t="s">
        <v>123</v>
      </c>
      <c r="K37" s="44">
        <f>SUMIF($A2:$A34, "Advisors (Carbones)", $K2:$K34)</f>
        <v>1112.19</v>
      </c>
      <c r="L37" s="45">
        <f>SUMIF($A2:$A34, "Advisors (Carbones)",$L2:$L34)</f>
        <v>984.89</v>
      </c>
    </row>
    <row r="38">
      <c r="J38" s="43" t="s">
        <v>124</v>
      </c>
      <c r="K38" s="44">
        <f>SUMIF($A2:$A34, "Riverside Robotics", $K2:$K34)</f>
        <v>1227.93</v>
      </c>
      <c r="L38" s="45">
        <f>SUMIF($A2:$A34, "Riverside Robotics", $L2:$L34)</f>
        <v>0</v>
      </c>
    </row>
    <row r="39">
      <c r="J39" s="43" t="s">
        <v>12</v>
      </c>
      <c r="K39" s="44">
        <f>SUMIF($A2:$A34, "AWT", $K2:$K34)</f>
        <v>596.73</v>
      </c>
      <c r="L39" s="45">
        <f>SUMIF($A2:$A34, "AWT", $L2:$L34)</f>
        <v>596.73</v>
      </c>
    </row>
    <row r="40">
      <c r="J40" s="46" t="s">
        <v>125</v>
      </c>
      <c r="K40" s="47">
        <f t="shared" ref="K40:L40" si="5">sum(K36:K39)</f>
        <v>3554.48</v>
      </c>
      <c r="L40" s="48">
        <f t="shared" si="5"/>
        <v>2199.25</v>
      </c>
    </row>
  </sheetData>
  <dataValidations>
    <dataValidation type="list" allowBlank="1" sqref="B2:B34">
      <formula1>"Drive,Weapon,Power,Brain,Uhhh..what?,Protection,Chassis,Saftey,Club"</formula1>
    </dataValidation>
    <dataValidation type="custom" allowBlank="1" showDropDown="1" sqref="F2:F34 J2:J34">
      <formula1>AND(ISNUMBER(F2),(NOT(OR(NOT(ISERROR(DATEVALUE(F2))), AND(ISNUMBER(F2), LEFT(CELL("format", F2))="D")))))</formula1>
    </dataValidation>
    <dataValidation type="list" allowBlank="1" sqref="A2:A34">
      <formula1>"Riverside,AWT,Advisors (Carbones),Riverside Robotics"</formula1>
    </dataValidation>
    <dataValidation allowBlank="1" showDropDown="1" sqref="C2:C34"/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8"/>
    <hyperlink r:id="rId26" ref="E29"/>
    <hyperlink r:id="rId27" ref="E30"/>
    <hyperlink r:id="rId28" ref="E31"/>
    <hyperlink r:id="rId29" ref="E32"/>
    <hyperlink r:id="rId30" ref="E34"/>
  </hyperlinks>
  <printOptions gridLines="1" horizontalCentered="1"/>
  <pageMargins bottom="0.75" footer="0.0" header="0.0" left="0.7" right="0.7" top="0.75"/>
  <pageSetup cellComments="atEnd" orientation="landscape" pageOrder="overThenDown"/>
  <drawing r:id="rId31"/>
  <tableParts count="2">
    <tablePart r:id="rId34"/>
    <tablePart r:id="rId35"/>
  </tableParts>
</worksheet>
</file>